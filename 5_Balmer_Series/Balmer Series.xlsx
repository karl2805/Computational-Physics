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r\OneDrive\Documents\Labs\5_Balmer_Series\"/>
    </mc:Choice>
  </mc:AlternateContent>
  <xr:revisionPtr revIDLastSave="0" documentId="8_{42120DFD-6E73-41E8-9F36-BA2EA1064209}" xr6:coauthVersionLast="47" xr6:coauthVersionMax="47" xr10:uidLastSave="{00000000-0000-0000-0000-000000000000}"/>
  <bookViews>
    <workbookView xWindow="18810" yWindow="270" windowWidth="15165" windowHeight="17250" xr2:uid="{BDECA532-844B-41B6-8576-FA9F887CEE53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1" l="1"/>
  <c r="Q39" i="1"/>
  <c r="Q61" i="1"/>
  <c r="Q38" i="1"/>
  <c r="Q50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38" i="1"/>
  <c r="O38" i="1"/>
  <c r="O39" i="1"/>
  <c r="O50" i="1"/>
  <c r="O51" i="1"/>
  <c r="O61" i="1"/>
  <c r="A5" i="2"/>
  <c r="A4" i="2"/>
  <c r="A3" i="2"/>
  <c r="A2" i="2"/>
  <c r="A1" i="2"/>
  <c r="N39" i="1"/>
  <c r="N50" i="1"/>
  <c r="N51" i="1"/>
  <c r="N61" i="1"/>
  <c r="N38" i="1"/>
  <c r="M39" i="1"/>
  <c r="M50" i="1"/>
  <c r="M51" i="1"/>
  <c r="M61" i="1"/>
  <c r="M38" i="1"/>
  <c r="G51" i="1"/>
  <c r="H51" i="1"/>
  <c r="I51" i="1"/>
  <c r="J51" i="1"/>
  <c r="K51" i="1"/>
  <c r="L51" i="1"/>
  <c r="I61" i="1"/>
  <c r="K61" i="1" s="1"/>
  <c r="H50" i="1"/>
  <c r="J50" i="1" s="1"/>
  <c r="L50" i="1" s="1"/>
  <c r="G50" i="1"/>
  <c r="I50" i="1" s="1"/>
  <c r="K50" i="1" s="1"/>
  <c r="K39" i="1"/>
  <c r="K38" i="1"/>
  <c r="I39" i="1"/>
  <c r="H39" i="1"/>
  <c r="J39" i="1" s="1"/>
  <c r="L39" i="1" s="1"/>
  <c r="G39" i="1"/>
  <c r="K24" i="1"/>
  <c r="K23" i="1"/>
  <c r="H61" i="1"/>
  <c r="J61" i="1" s="1"/>
  <c r="L61" i="1" s="1"/>
  <c r="G61" i="1"/>
  <c r="H38" i="1"/>
  <c r="J38" i="1" s="1"/>
  <c r="L38" i="1" s="1"/>
  <c r="G38" i="1"/>
  <c r="I38" i="1" s="1"/>
  <c r="E33" i="1"/>
  <c r="E32" i="1"/>
  <c r="F32" i="1" s="1"/>
  <c r="F3" i="1"/>
  <c r="E4" i="1"/>
  <c r="E3" i="1"/>
  <c r="G9" i="1"/>
</calcChain>
</file>

<file path=xl/sharedStrings.xml><?xml version="1.0" encoding="utf-8"?>
<sst xmlns="http://schemas.openxmlformats.org/spreadsheetml/2006/main" count="91" uniqueCount="29">
  <si>
    <t>Zero Point</t>
  </si>
  <si>
    <t>Degrees</t>
  </si>
  <si>
    <t>Arc mins</t>
  </si>
  <si>
    <t>eta</t>
  </si>
  <si>
    <t>BlueGreen</t>
  </si>
  <si>
    <t>Angle</t>
  </si>
  <si>
    <t>Red</t>
  </si>
  <si>
    <t>LEFT</t>
  </si>
  <si>
    <t>RIGHT</t>
  </si>
  <si>
    <t>Arc Mins</t>
  </si>
  <si>
    <t>Left</t>
  </si>
  <si>
    <t>Right</t>
  </si>
  <si>
    <t>Angle (deg)</t>
  </si>
  <si>
    <t>Violet</t>
  </si>
  <si>
    <t>Theta</t>
  </si>
  <si>
    <t>Weird Ghost</t>
  </si>
  <si>
    <t>Location</t>
  </si>
  <si>
    <t>Red n = 1</t>
  </si>
  <si>
    <t>Degree</t>
  </si>
  <si>
    <t>Diffraction constant</t>
  </si>
  <si>
    <t>mm-1</t>
  </si>
  <si>
    <t>d</t>
  </si>
  <si>
    <t>mm</t>
  </si>
  <si>
    <t>lambda</t>
  </si>
  <si>
    <t>Average</t>
  </si>
  <si>
    <t>1/lambda</t>
  </si>
  <si>
    <t>1/eta^2</t>
  </si>
  <si>
    <t>σ</t>
  </si>
  <si>
    <t>σ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</si>
</sst>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3986-6848-4A1A-AAC1-7AC2921C9E3A}">
  <dimension ref="A2:Q70"/>
  <sheetViews>
    <sheetView tabSelected="1" topLeftCell="J41" zoomScale="130" zoomScaleNormal="130" workbookViewId="0">
      <selection activeCell="Q51" sqref="Q51"/>
    </sheetView>
  </sheetViews>
  <sheetFormatPr defaultRowHeight="15" x14ac:dyDescent="0.25"/>
  <cols>
    <col min="9" max="9" width="11.75" bestFit="1" customWidth="1"/>
    <col min="11" max="11" width="12.375" bestFit="1" customWidth="1"/>
    <col min="12" max="12" width="11.75" bestFit="1" customWidth="1"/>
    <col min="13" max="13" width="11.875" bestFit="1" customWidth="1"/>
    <col min="14" max="14" width="9.875" bestFit="1" customWidth="1"/>
    <col min="15" max="15" width="11.875" bestFit="1" customWidth="1"/>
  </cols>
  <sheetData>
    <row r="2" spans="1:7" x14ac:dyDescent="0.25">
      <c r="A2" s="1"/>
      <c r="B2" s="1"/>
      <c r="C2" s="1" t="s">
        <v>1</v>
      </c>
      <c r="D2" s="1" t="s">
        <v>2</v>
      </c>
      <c r="E2" s="1" t="s">
        <v>12</v>
      </c>
      <c r="F2" s="1"/>
      <c r="G2" s="1"/>
    </row>
    <row r="3" spans="1:7" x14ac:dyDescent="0.25">
      <c r="A3" s="1"/>
      <c r="B3" s="1" t="s">
        <v>0</v>
      </c>
      <c r="C3" s="1">
        <v>261</v>
      </c>
      <c r="D3" s="1">
        <v>20</v>
      </c>
      <c r="E3" s="1">
        <f>C3+D3/60</f>
        <v>261.33333333333331</v>
      </c>
      <c r="F3" s="1">
        <f>AVERAGE(E3:E4)</f>
        <v>261.32499999999999</v>
      </c>
      <c r="G3" s="1"/>
    </row>
    <row r="4" spans="1:7" x14ac:dyDescent="0.25">
      <c r="A4" s="1"/>
      <c r="B4" s="1"/>
      <c r="C4" s="1">
        <v>261</v>
      </c>
      <c r="D4" s="1">
        <v>19</v>
      </c>
      <c r="E4" s="1">
        <f>C4+D4/60</f>
        <v>261.31666666666666</v>
      </c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 t="s">
        <v>7</v>
      </c>
      <c r="D6" s="1"/>
      <c r="E6" s="1" t="s">
        <v>8</v>
      </c>
      <c r="F6" s="1"/>
      <c r="G6" s="1"/>
    </row>
    <row r="7" spans="1:7" x14ac:dyDescent="0.25">
      <c r="A7" s="1" t="s">
        <v>4</v>
      </c>
      <c r="B7" s="1" t="s">
        <v>3</v>
      </c>
      <c r="C7" s="1" t="s">
        <v>5</v>
      </c>
      <c r="D7" s="1"/>
      <c r="E7" s="1"/>
      <c r="F7" s="1"/>
      <c r="G7" s="1"/>
    </row>
    <row r="8" spans="1:7" x14ac:dyDescent="0.25">
      <c r="A8" s="1"/>
      <c r="B8" s="1"/>
      <c r="C8" s="1" t="s">
        <v>1</v>
      </c>
      <c r="D8" s="1" t="s">
        <v>2</v>
      </c>
      <c r="E8" s="1" t="s">
        <v>1</v>
      </c>
      <c r="F8" s="1" t="s">
        <v>9</v>
      </c>
      <c r="G8" s="1"/>
    </row>
    <row r="9" spans="1:7" x14ac:dyDescent="0.25">
      <c r="A9" s="1"/>
      <c r="B9" s="1">
        <v>1</v>
      </c>
      <c r="C9" s="1">
        <v>278</v>
      </c>
      <c r="D9" s="1">
        <v>27</v>
      </c>
      <c r="E9" s="1">
        <v>244</v>
      </c>
      <c r="F9" s="1"/>
      <c r="G9" s="1">
        <f>C9+D9/60</f>
        <v>278.45</v>
      </c>
    </row>
    <row r="10" spans="1:7" x14ac:dyDescent="0.25">
      <c r="A10" s="1"/>
      <c r="B10" s="1">
        <v>2</v>
      </c>
      <c r="C10" s="1"/>
      <c r="D10" s="1"/>
      <c r="E10" s="1"/>
      <c r="F10" s="1"/>
      <c r="G10" s="1"/>
    </row>
    <row r="11" spans="1:7" x14ac:dyDescent="0.25">
      <c r="A11" s="1"/>
      <c r="B11" s="1">
        <v>3</v>
      </c>
      <c r="C11" s="1"/>
      <c r="D11" s="1"/>
      <c r="E11" s="1"/>
      <c r="F11" s="1"/>
      <c r="G11" s="1"/>
    </row>
    <row r="12" spans="1:7" x14ac:dyDescent="0.25">
      <c r="A12" s="1"/>
      <c r="B12" s="1">
        <v>4</v>
      </c>
      <c r="C12" s="1"/>
      <c r="D12" s="1"/>
      <c r="E12" s="1"/>
      <c r="F12" s="1"/>
      <c r="G12" s="1"/>
    </row>
    <row r="13" spans="1:7" x14ac:dyDescent="0.25">
      <c r="A13" s="1"/>
      <c r="B13" s="1">
        <v>5</v>
      </c>
      <c r="C13" s="1"/>
      <c r="D13" s="1"/>
      <c r="E13" s="1"/>
      <c r="F13" s="1"/>
      <c r="G13" s="1"/>
    </row>
    <row r="14" spans="1:7" x14ac:dyDescent="0.25">
      <c r="A14" s="1"/>
      <c r="B14" s="1">
        <v>6</v>
      </c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12" x14ac:dyDescent="0.25">
      <c r="A17" s="1"/>
      <c r="B17" s="1"/>
      <c r="C17" s="1"/>
      <c r="D17" s="1"/>
      <c r="E17" s="1"/>
      <c r="F17" s="1"/>
      <c r="G17" s="1"/>
    </row>
    <row r="18" spans="1:12" x14ac:dyDescent="0.25">
      <c r="A18" s="1"/>
      <c r="B18" s="1"/>
      <c r="C18" s="1" t="s">
        <v>10</v>
      </c>
      <c r="D18" s="1"/>
      <c r="E18" s="1" t="s">
        <v>11</v>
      </c>
      <c r="F18" s="1"/>
      <c r="G18" s="1"/>
    </row>
    <row r="19" spans="1:12" x14ac:dyDescent="0.25">
      <c r="A19" s="1" t="s">
        <v>6</v>
      </c>
      <c r="B19" s="1" t="s">
        <v>3</v>
      </c>
      <c r="C19" s="1" t="s">
        <v>5</v>
      </c>
      <c r="D19" s="1"/>
      <c r="E19" s="1"/>
      <c r="F19" s="1"/>
      <c r="G19" s="1"/>
    </row>
    <row r="20" spans="1:12" x14ac:dyDescent="0.25">
      <c r="A20" s="1"/>
      <c r="B20" s="1"/>
      <c r="C20" s="1" t="s">
        <v>1</v>
      </c>
      <c r="D20" s="1" t="s">
        <v>2</v>
      </c>
      <c r="E20" s="1"/>
      <c r="F20" s="1"/>
      <c r="G20" s="1"/>
    </row>
    <row r="21" spans="1:12" x14ac:dyDescent="0.25">
      <c r="A21" s="1"/>
      <c r="B21" s="1">
        <v>1</v>
      </c>
      <c r="C21" s="1">
        <v>284</v>
      </c>
      <c r="D21" s="1">
        <v>21</v>
      </c>
      <c r="E21" s="1"/>
      <c r="F21" s="1"/>
      <c r="G21" s="1"/>
    </row>
    <row r="22" spans="1:12" x14ac:dyDescent="0.25">
      <c r="A22" s="1"/>
      <c r="B22" s="1">
        <v>2</v>
      </c>
      <c r="C22" s="1"/>
      <c r="D22" s="1"/>
      <c r="E22" s="1"/>
      <c r="F22" s="1"/>
      <c r="G22" s="1"/>
      <c r="I22" t="s">
        <v>19</v>
      </c>
      <c r="K22">
        <v>600</v>
      </c>
      <c r="L22" t="s">
        <v>20</v>
      </c>
    </row>
    <row r="23" spans="1:12" x14ac:dyDescent="0.25">
      <c r="A23" s="1"/>
      <c r="B23" s="1">
        <v>3</v>
      </c>
      <c r="C23" s="1"/>
      <c r="D23" s="1"/>
      <c r="E23" s="1"/>
      <c r="F23" s="1"/>
      <c r="G23" s="1"/>
      <c r="J23" t="s">
        <v>21</v>
      </c>
      <c r="K23">
        <f>1/K22</f>
        <v>1.6666666666666668E-3</v>
      </c>
      <c r="L23" t="s">
        <v>22</v>
      </c>
    </row>
    <row r="24" spans="1:12" x14ac:dyDescent="0.25">
      <c r="A24" s="1"/>
      <c r="B24" s="1">
        <v>4</v>
      </c>
      <c r="C24" s="1"/>
      <c r="D24" s="1"/>
      <c r="E24" s="1"/>
      <c r="F24" s="1"/>
      <c r="G24" s="1"/>
      <c r="J24" t="s">
        <v>21</v>
      </c>
      <c r="K24">
        <f>K23/1000</f>
        <v>1.6666666666666669E-6</v>
      </c>
      <c r="L24" t="s">
        <v>21</v>
      </c>
    </row>
    <row r="25" spans="1:12" x14ac:dyDescent="0.25">
      <c r="A25" s="1"/>
      <c r="B25" s="1">
        <v>5</v>
      </c>
      <c r="C25" s="1"/>
      <c r="D25" s="1"/>
      <c r="E25" s="1"/>
      <c r="F25" s="1"/>
      <c r="G25" s="1"/>
    </row>
    <row r="26" spans="1:12" x14ac:dyDescent="0.25">
      <c r="A26" s="1"/>
      <c r="B26" s="1">
        <v>6</v>
      </c>
      <c r="C26" s="1"/>
      <c r="D26" s="1"/>
      <c r="E26" s="1"/>
      <c r="F26" s="1"/>
      <c r="G26" s="1"/>
    </row>
    <row r="31" spans="1:12" x14ac:dyDescent="0.25">
      <c r="C31" t="s">
        <v>1</v>
      </c>
      <c r="D31" t="s">
        <v>2</v>
      </c>
      <c r="E31" t="s">
        <v>12</v>
      </c>
    </row>
    <row r="32" spans="1:12" x14ac:dyDescent="0.25">
      <c r="B32" t="s">
        <v>0</v>
      </c>
      <c r="C32">
        <v>81</v>
      </c>
      <c r="D32">
        <v>39</v>
      </c>
      <c r="E32">
        <f>C32+D32/60</f>
        <v>81.650000000000006</v>
      </c>
      <c r="F32">
        <f>AVERAGE(E32:E33)</f>
        <v>81.625</v>
      </c>
    </row>
    <row r="33" spans="1:17" x14ac:dyDescent="0.25">
      <c r="C33">
        <v>81</v>
      </c>
      <c r="D33">
        <v>36</v>
      </c>
      <c r="E33">
        <f>C33+D33/60</f>
        <v>81.599999999999994</v>
      </c>
    </row>
    <row r="35" spans="1:17" x14ac:dyDescent="0.25">
      <c r="C35" t="s">
        <v>7</v>
      </c>
      <c r="E35" t="s">
        <v>8</v>
      </c>
    </row>
    <row r="36" spans="1:17" x14ac:dyDescent="0.25">
      <c r="A36" t="s">
        <v>4</v>
      </c>
      <c r="B36" t="s">
        <v>3</v>
      </c>
      <c r="C36" t="s">
        <v>5</v>
      </c>
    </row>
    <row r="37" spans="1:17" x14ac:dyDescent="0.25">
      <c r="C37" t="s">
        <v>1</v>
      </c>
      <c r="D37" t="s">
        <v>2</v>
      </c>
      <c r="E37" t="s">
        <v>1</v>
      </c>
      <c r="F37" t="s">
        <v>9</v>
      </c>
      <c r="I37" t="s">
        <v>14</v>
      </c>
      <c r="J37" t="s">
        <v>14</v>
      </c>
      <c r="K37" t="s">
        <v>23</v>
      </c>
      <c r="L37" t="s">
        <v>23</v>
      </c>
      <c r="M37" t="s">
        <v>24</v>
      </c>
      <c r="N37" t="s">
        <v>25</v>
      </c>
      <c r="O37" t="s">
        <v>27</v>
      </c>
      <c r="P37" t="s">
        <v>28</v>
      </c>
      <c r="Q37" t="s">
        <v>26</v>
      </c>
    </row>
    <row r="38" spans="1:17" x14ac:dyDescent="0.25">
      <c r="B38">
        <v>1</v>
      </c>
      <c r="C38">
        <v>99</v>
      </c>
      <c r="D38">
        <v>34</v>
      </c>
      <c r="E38">
        <v>64</v>
      </c>
      <c r="F38">
        <v>51</v>
      </c>
      <c r="G38">
        <f>C38+D38/60</f>
        <v>99.566666666666663</v>
      </c>
      <c r="H38">
        <f>E38+F38/60</f>
        <v>64.849999999999994</v>
      </c>
      <c r="I38">
        <f>ABS(G38-$F$32)</f>
        <v>17.941666666666663</v>
      </c>
      <c r="J38">
        <f>ABS(H38-$F$32)</f>
        <v>16.775000000000006</v>
      </c>
      <c r="K38">
        <f>$K$24*SIN(RADIANS(I38))/$B38</f>
        <v>5.1341425907481893E-7</v>
      </c>
      <c r="L38">
        <f>$K$24*SIN(RADIANS(J38))/$B38</f>
        <v>4.8102343335550355E-7</v>
      </c>
      <c r="M38">
        <f>AVERAGE(K38:L38)</f>
        <v>4.9721884621516124E-7</v>
      </c>
      <c r="N38">
        <f>1/M38</f>
        <v>2011186.8397829605</v>
      </c>
      <c r="O38">
        <f>_xlfn.STDEV.S(K38:L38) / SQRT(2)</f>
        <v>1.6195412859657688E-8</v>
      </c>
      <c r="P38">
        <f>(1/M38^2)*(O38)</f>
        <v>65508.380175317012</v>
      </c>
      <c r="Q38">
        <f>1/(4^2)</f>
        <v>6.25E-2</v>
      </c>
    </row>
    <row r="39" spans="1:17" x14ac:dyDescent="0.25">
      <c r="B39">
        <v>2</v>
      </c>
      <c r="C39">
        <v>119</v>
      </c>
      <c r="D39">
        <v>9</v>
      </c>
      <c r="E39">
        <v>46</v>
      </c>
      <c r="F39">
        <v>32</v>
      </c>
      <c r="G39">
        <f>C39+D39/60</f>
        <v>119.15</v>
      </c>
      <c r="H39">
        <f>E39+F39/60</f>
        <v>46.533333333333331</v>
      </c>
      <c r="I39">
        <f>ABS(G39-$F$32)</f>
        <v>37.525000000000006</v>
      </c>
      <c r="J39">
        <f>ABS(H39-$F$32)</f>
        <v>35.091666666666669</v>
      </c>
      <c r="K39">
        <f>$K$24*SIN(RADIANS(I39))/$B39</f>
        <v>5.0758961395494964E-7</v>
      </c>
      <c r="L39">
        <f>$K$24*SIN(RADIANS(J39))/$B39</f>
        <v>4.7907187575750849E-7</v>
      </c>
      <c r="M39">
        <f t="shared" ref="M39:M61" si="0">AVERAGE(K39:L39)</f>
        <v>4.9333074485622911E-7</v>
      </c>
      <c r="N39">
        <f t="shared" ref="N39:N61" si="1">1/M39</f>
        <v>2027037.6627173906</v>
      </c>
      <c r="O39">
        <f t="shared" ref="O39:O61" si="2">_xlfn.STDEV.S(K39:L39) / SQRT(2)</f>
        <v>1.4258869098720573E-8</v>
      </c>
      <c r="P39">
        <f t="shared" ref="P39:P61" si="3">(1/M39^2)*(O39)</f>
        <v>58588.00610387059</v>
      </c>
      <c r="Q39">
        <f>1/(8^2)</f>
        <v>1.5625E-2</v>
      </c>
    </row>
    <row r="40" spans="1:17" x14ac:dyDescent="0.25">
      <c r="B40">
        <v>3</v>
      </c>
      <c r="P40" t="e">
        <f t="shared" si="3"/>
        <v>#DIV/0!</v>
      </c>
    </row>
    <row r="41" spans="1:17" x14ac:dyDescent="0.25">
      <c r="B41">
        <v>4</v>
      </c>
      <c r="P41" t="e">
        <f t="shared" si="3"/>
        <v>#DIV/0!</v>
      </c>
    </row>
    <row r="42" spans="1:17" x14ac:dyDescent="0.25">
      <c r="B42">
        <v>5</v>
      </c>
      <c r="P42" t="e">
        <f t="shared" si="3"/>
        <v>#DIV/0!</v>
      </c>
    </row>
    <row r="43" spans="1:17" x14ac:dyDescent="0.25">
      <c r="B43">
        <v>6</v>
      </c>
      <c r="P43" t="e">
        <f t="shared" si="3"/>
        <v>#DIV/0!</v>
      </c>
    </row>
    <row r="44" spans="1:17" x14ac:dyDescent="0.25">
      <c r="P44" t="e">
        <f t="shared" si="3"/>
        <v>#DIV/0!</v>
      </c>
    </row>
    <row r="45" spans="1:17" x14ac:dyDescent="0.25">
      <c r="P45" t="e">
        <f t="shared" si="3"/>
        <v>#DIV/0!</v>
      </c>
    </row>
    <row r="46" spans="1:17" x14ac:dyDescent="0.25">
      <c r="P46" t="e">
        <f t="shared" si="3"/>
        <v>#DIV/0!</v>
      </c>
    </row>
    <row r="47" spans="1:17" x14ac:dyDescent="0.25">
      <c r="C47" t="s">
        <v>10</v>
      </c>
      <c r="E47" t="s">
        <v>11</v>
      </c>
      <c r="P47" t="e">
        <f t="shared" si="3"/>
        <v>#DIV/0!</v>
      </c>
    </row>
    <row r="48" spans="1:17" x14ac:dyDescent="0.25">
      <c r="A48" t="s">
        <v>6</v>
      </c>
      <c r="B48" t="s">
        <v>3</v>
      </c>
      <c r="C48" t="s">
        <v>5</v>
      </c>
      <c r="P48" t="e">
        <f t="shared" si="3"/>
        <v>#DIV/0!</v>
      </c>
    </row>
    <row r="49" spans="1:17" x14ac:dyDescent="0.25">
      <c r="C49" t="s">
        <v>1</v>
      </c>
      <c r="D49" t="s">
        <v>2</v>
      </c>
      <c r="E49" t="s">
        <v>1</v>
      </c>
      <c r="F49" t="s">
        <v>9</v>
      </c>
      <c r="I49" t="s">
        <v>14</v>
      </c>
      <c r="J49" t="s">
        <v>14</v>
      </c>
      <c r="K49" t="s">
        <v>23</v>
      </c>
      <c r="L49" t="s">
        <v>23</v>
      </c>
      <c r="M49" t="s">
        <v>24</v>
      </c>
      <c r="N49" t="s">
        <v>25</v>
      </c>
      <c r="O49" t="s">
        <v>27</v>
      </c>
      <c r="P49" t="e">
        <f t="shared" si="3"/>
        <v>#VALUE!</v>
      </c>
      <c r="Q49" t="s">
        <v>26</v>
      </c>
    </row>
    <row r="50" spans="1:17" x14ac:dyDescent="0.25">
      <c r="B50">
        <v>1</v>
      </c>
      <c r="C50">
        <v>106</v>
      </c>
      <c r="D50">
        <v>12</v>
      </c>
      <c r="E50">
        <v>58</v>
      </c>
      <c r="F50">
        <v>11</v>
      </c>
      <c r="G50">
        <f>C50+D50/60</f>
        <v>106.2</v>
      </c>
      <c r="H50">
        <f>E50+F50/60</f>
        <v>58.18333333333333</v>
      </c>
      <c r="I50">
        <f>ABS(G50-$F$32)</f>
        <v>24.575000000000003</v>
      </c>
      <c r="J50">
        <f>ABS(H50-$F$32)</f>
        <v>23.44166666666667</v>
      </c>
      <c r="K50">
        <f>$K$24*SIN(RADIANS(I50))/$B50</f>
        <v>6.9314003925245696E-7</v>
      </c>
      <c r="L50">
        <f>$K$24*SIN(RADIANS(J50))/$B50</f>
        <v>6.630253259297327E-7</v>
      </c>
      <c r="M50">
        <f t="shared" si="0"/>
        <v>6.7808268259109483E-7</v>
      </c>
      <c r="N50">
        <f t="shared" si="1"/>
        <v>1474746.4072947449</v>
      </c>
      <c r="O50">
        <f t="shared" si="2"/>
        <v>1.5057356661362129E-8</v>
      </c>
      <c r="P50">
        <f t="shared" si="3"/>
        <v>32747.898169064702</v>
      </c>
      <c r="Q50">
        <f>1/(3^2)</f>
        <v>0.1111111111111111</v>
      </c>
    </row>
    <row r="51" spans="1:17" x14ac:dyDescent="0.25">
      <c r="B51">
        <v>2</v>
      </c>
      <c r="C51">
        <v>138</v>
      </c>
      <c r="D51">
        <v>27</v>
      </c>
      <c r="G51">
        <f>C51+D51/60</f>
        <v>138.44999999999999</v>
      </c>
      <c r="H51">
        <f>E51+F51/60</f>
        <v>0</v>
      </c>
      <c r="I51">
        <f>ABS(G51-$F$32)</f>
        <v>56.824999999999989</v>
      </c>
      <c r="J51">
        <f>ABS(H51-$F$32)</f>
        <v>81.625</v>
      </c>
      <c r="K51">
        <f>$K$24*SIN(RADIANS(I51))/$B51</f>
        <v>6.9750262777095255E-7</v>
      </c>
      <c r="L51">
        <f>$K$24*SIN(RADIANS(J51))/$B51</f>
        <v>8.2444664961247028E-7</v>
      </c>
      <c r="M51">
        <f t="shared" si="0"/>
        <v>7.6097463869171136E-7</v>
      </c>
      <c r="N51">
        <f t="shared" si="1"/>
        <v>1314104.2410023382</v>
      </c>
      <c r="O51">
        <f t="shared" si="2"/>
        <v>6.3472010920758864E-8</v>
      </c>
      <c r="P51">
        <f t="shared" si="3"/>
        <v>109607.90871994727</v>
      </c>
      <c r="Q51">
        <f>1/6^2</f>
        <v>2.7777777777777776E-2</v>
      </c>
    </row>
    <row r="52" spans="1:17" x14ac:dyDescent="0.25">
      <c r="B52">
        <v>3</v>
      </c>
      <c r="P52" t="e">
        <f t="shared" si="3"/>
        <v>#DIV/0!</v>
      </c>
    </row>
    <row r="53" spans="1:17" x14ac:dyDescent="0.25">
      <c r="B53">
        <v>4</v>
      </c>
      <c r="P53" t="e">
        <f t="shared" si="3"/>
        <v>#DIV/0!</v>
      </c>
    </row>
    <row r="54" spans="1:17" x14ac:dyDescent="0.25">
      <c r="B54">
        <v>5</v>
      </c>
      <c r="P54" t="e">
        <f t="shared" si="3"/>
        <v>#DIV/0!</v>
      </c>
    </row>
    <row r="55" spans="1:17" x14ac:dyDescent="0.25">
      <c r="B55">
        <v>6</v>
      </c>
      <c r="P55" t="e">
        <f t="shared" si="3"/>
        <v>#DIV/0!</v>
      </c>
    </row>
    <row r="56" spans="1:17" x14ac:dyDescent="0.25">
      <c r="P56" t="e">
        <f t="shared" si="3"/>
        <v>#DIV/0!</v>
      </c>
    </row>
    <row r="57" spans="1:17" x14ac:dyDescent="0.25">
      <c r="P57" t="e">
        <f t="shared" si="3"/>
        <v>#DIV/0!</v>
      </c>
    </row>
    <row r="58" spans="1:17" x14ac:dyDescent="0.25">
      <c r="A58" t="s">
        <v>13</v>
      </c>
      <c r="C58" t="s">
        <v>7</v>
      </c>
      <c r="E58" t="s">
        <v>8</v>
      </c>
      <c r="P58" t="e">
        <f t="shared" si="3"/>
        <v>#DIV/0!</v>
      </c>
    </row>
    <row r="59" spans="1:17" x14ac:dyDescent="0.25">
      <c r="B59" t="s">
        <v>3</v>
      </c>
      <c r="C59" t="s">
        <v>5</v>
      </c>
      <c r="P59" t="e">
        <f t="shared" si="3"/>
        <v>#DIV/0!</v>
      </c>
    </row>
    <row r="60" spans="1:17" x14ac:dyDescent="0.25">
      <c r="C60" t="s">
        <v>1</v>
      </c>
      <c r="D60" t="s">
        <v>2</v>
      </c>
      <c r="E60" t="s">
        <v>1</v>
      </c>
      <c r="F60" t="s">
        <v>9</v>
      </c>
      <c r="I60" t="s">
        <v>14</v>
      </c>
      <c r="J60" t="s">
        <v>14</v>
      </c>
      <c r="K60" t="s">
        <v>23</v>
      </c>
      <c r="L60" t="s">
        <v>23</v>
      </c>
      <c r="M60" t="s">
        <v>24</v>
      </c>
      <c r="N60" t="s">
        <v>25</v>
      </c>
      <c r="O60" t="s">
        <v>27</v>
      </c>
      <c r="P60" t="e">
        <f t="shared" si="3"/>
        <v>#VALUE!</v>
      </c>
      <c r="Q60" t="s">
        <v>26</v>
      </c>
    </row>
    <row r="61" spans="1:17" x14ac:dyDescent="0.25">
      <c r="B61">
        <v>1</v>
      </c>
      <c r="C61">
        <v>97</v>
      </c>
      <c r="D61">
        <v>47</v>
      </c>
      <c r="E61">
        <v>66</v>
      </c>
      <c r="F61">
        <v>32</v>
      </c>
      <c r="G61">
        <f>C61+D61/60</f>
        <v>97.783333333333331</v>
      </c>
      <c r="H61">
        <f>E61+F61/60</f>
        <v>66.533333333333331</v>
      </c>
      <c r="I61">
        <f>ABS(G61-$F$32)</f>
        <v>16.158333333333331</v>
      </c>
      <c r="J61">
        <f>ABS(H61-$F$32)</f>
        <v>15.091666666666669</v>
      </c>
      <c r="K61">
        <f>$K$24*SIN(RADIANS(I61))/$B61</f>
        <v>4.6382114508926214E-7</v>
      </c>
      <c r="L61">
        <f>$K$24*SIN(RADIANS(J61))/$B61</f>
        <v>4.3394013930955466E-7</v>
      </c>
      <c r="M61">
        <f t="shared" si="0"/>
        <v>4.4888064219940842E-7</v>
      </c>
      <c r="N61">
        <f t="shared" si="1"/>
        <v>2227763.6992770233</v>
      </c>
      <c r="O61">
        <f t="shared" si="2"/>
        <v>1.4940502889853736E-8</v>
      </c>
      <c r="P61">
        <f t="shared" si="3"/>
        <v>74148.686438952616</v>
      </c>
      <c r="Q61">
        <f>1/5^2</f>
        <v>0.04</v>
      </c>
    </row>
    <row r="62" spans="1:17" x14ac:dyDescent="0.25">
      <c r="B62">
        <v>2</v>
      </c>
    </row>
    <row r="63" spans="1:17" x14ac:dyDescent="0.25">
      <c r="B63">
        <v>3</v>
      </c>
    </row>
    <row r="64" spans="1:17" x14ac:dyDescent="0.25">
      <c r="B64">
        <v>4</v>
      </c>
    </row>
    <row r="65" spans="1:6" x14ac:dyDescent="0.25">
      <c r="B65">
        <v>5</v>
      </c>
    </row>
    <row r="66" spans="1:6" x14ac:dyDescent="0.25">
      <c r="B66">
        <v>6</v>
      </c>
    </row>
    <row r="68" spans="1:6" x14ac:dyDescent="0.25">
      <c r="A68" t="s">
        <v>15</v>
      </c>
      <c r="C68" t="s">
        <v>10</v>
      </c>
      <c r="E68" t="s">
        <v>11</v>
      </c>
    </row>
    <row r="69" spans="1:6" x14ac:dyDescent="0.25">
      <c r="B69" t="s">
        <v>16</v>
      </c>
      <c r="C69" t="s">
        <v>18</v>
      </c>
      <c r="D69" t="s">
        <v>9</v>
      </c>
      <c r="E69" t="s">
        <v>18</v>
      </c>
      <c r="F69" t="s">
        <v>9</v>
      </c>
    </row>
    <row r="70" spans="1:6" x14ac:dyDescent="0.25">
      <c r="B70" t="s">
        <v>17</v>
      </c>
      <c r="C70">
        <v>104</v>
      </c>
      <c r="D70">
        <v>21</v>
      </c>
      <c r="E70">
        <v>59</v>
      </c>
      <c r="F70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15BA-B179-4888-9B9A-92A29E3A84D9}">
  <dimension ref="A1:C5"/>
  <sheetViews>
    <sheetView zoomScale="265" zoomScaleNormal="265" workbookViewId="0">
      <selection sqref="A1:C5"/>
    </sheetView>
  </sheetViews>
  <sheetFormatPr defaultRowHeight="15" x14ac:dyDescent="0.25"/>
  <cols>
    <col min="4" max="4" width="11.875" bestFit="1" customWidth="1"/>
  </cols>
  <sheetData>
    <row r="1" spans="1:3" x14ac:dyDescent="0.25">
      <c r="A1">
        <f>1/(4^2)</f>
        <v>6.25E-2</v>
      </c>
      <c r="B1">
        <v>2011186.8397829605</v>
      </c>
      <c r="C1">
        <v>65508.380175317012</v>
      </c>
    </row>
    <row r="2" spans="1:3" x14ac:dyDescent="0.25">
      <c r="A2">
        <f>1/(4^2)</f>
        <v>6.25E-2</v>
      </c>
      <c r="B2">
        <v>2027037.6627173906</v>
      </c>
      <c r="C2">
        <v>58588.00610387059</v>
      </c>
    </row>
    <row r="3" spans="1:3" x14ac:dyDescent="0.25">
      <c r="A3">
        <f>1/3^2</f>
        <v>0.1111111111111111</v>
      </c>
      <c r="B3">
        <v>1474746.4072947449</v>
      </c>
      <c r="C3">
        <v>32747.898169064702</v>
      </c>
    </row>
    <row r="4" spans="1:3" x14ac:dyDescent="0.25">
      <c r="A4">
        <f>1/3^2</f>
        <v>0.1111111111111111</v>
      </c>
      <c r="B4">
        <v>1314104.2410023382</v>
      </c>
      <c r="C4">
        <v>109607.90871994727</v>
      </c>
    </row>
    <row r="5" spans="1:3" x14ac:dyDescent="0.25">
      <c r="A5">
        <f>1/5^2</f>
        <v>0.04</v>
      </c>
      <c r="B5">
        <v>2227763.6992770233</v>
      </c>
      <c r="C5">
        <v>74148.686438952616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Brinzoni (Umail)</dc:creator>
  <cp:lastModifiedBy>Karl Riedewald</cp:lastModifiedBy>
  <dcterms:created xsi:type="dcterms:W3CDTF">2025-10-29T15:06:56Z</dcterms:created>
  <dcterms:modified xsi:type="dcterms:W3CDTF">2025-11-03T14:00:32Z</dcterms:modified>
</cp:coreProperties>
</file>